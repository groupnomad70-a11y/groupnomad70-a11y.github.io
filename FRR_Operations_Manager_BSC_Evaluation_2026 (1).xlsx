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ons Manager BSC" sheetId="1" state="visible" r:id="rId3"/>
  </sheets>
  <definedNames>
    <definedName function="false" hidden="false" localSheetId="0" name="_xlnm.Print_Titles" vbProcedure="false">'Operations Manager BSC'!$1:$7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<sst xmlns="http://schemas.openxmlformats.org/spreadsheetml/2006/main" count="88" uniqueCount="76">
  <si>
    <t xml:space="preserve">FRED'S RANCH &amp; RESORT  ·  OPERATIONS MANAGER  ·  BALANCED SCORECARD EVALUATION  ·  2026</t>
  </si>
  <si>
    <t xml:space="preserve">Role:  Operations Manager  │  Incumbent:  Albert Maroa  │  Reports to:  General Manager – Hiram Nyingi  │  Evaluation Period: Q ___ / Year ___</t>
  </si>
  <si>
    <t xml:space="preserve">Evaluator:</t>
  </si>
  <si>
    <t xml:space="preserve">Evaluation Date:</t>
  </si>
  <si>
    <t xml:space="preserve">Review Type:</t>
  </si>
  <si>
    <t xml:space="preserve">Overall Score:</t>
  </si>
  <si>
    <t xml:space="preserve">[Name &amp; Title]</t>
  </si>
  <si>
    <t xml:space="preserve">[DD/MM/YYYY]</t>
  </si>
  <si>
    <t xml:space="preserve">[ ] Mid-Year   [ ] Annual</t>
  </si>
  <si>
    <t xml:space="preserve">SCORING GUIDE:  5 = Exceptional (&gt;110%)   ·   4 = Exceeds Target (100–110%)   ·   3 = Meets Target (~100%)   ·   2 = Partially Meets (80–99%)   ·   1 = Below Target (&lt;80%)       Weighted Score = Score × Weight</t>
  </si>
  <si>
    <t xml:space="preserve">#</t>
  </si>
  <si>
    <t xml:space="preserve">DIMENSION</t>
  </si>
  <si>
    <t xml:space="preserve">WEIGHT</t>
  </si>
  <si>
    <t xml:space="preserve">KEY PERFORMANCE INDICATOR</t>
  </si>
  <si>
    <t xml:space="preserve">MEASUREMENT METHODOLOGY</t>
  </si>
  <si>
    <t xml:space="preserve">TARGET</t>
  </si>
  <si>
    <t xml:space="preserve">SCORE
(1–5)</t>
  </si>
  <si>
    <t xml:space="preserve">EVIDENCE / NOTES</t>
  </si>
  <si>
    <t xml:space="preserve">WEIGHTED
SCORE</t>
  </si>
  <si>
    <t xml:space="preserve">EVALUATOR
REMARKS</t>
  </si>
  <si>
    <t xml:space="preserve">Operational Excellence</t>
  </si>
  <si>
    <t xml:space="preserve">SOP Compliance &amp; Institutionalization</t>
  </si>
  <si>
    <t xml:space="preserve">Monthly operational audits: SOP availability, staff awareness, adherence, checklist completion, corrective-action follow-through</t>
  </si>
  <si>
    <t xml:space="preserve">≥ 90%</t>
  </si>
  <si>
    <t xml:space="preserve">Daily Operations Execution</t>
  </si>
  <si>
    <t xml:space="preserve">Completion of operational checklists and assigned operational priorities each shift</t>
  </si>
  <si>
    <t xml:space="preserve">100%</t>
  </si>
  <si>
    <t xml:space="preserve">Service Consistency Score</t>
  </si>
  <si>
    <t xml:space="preserve">Internal quality audits measuring consistency in service delivery and operational standards across departments</t>
  </si>
  <si>
    <t xml:space="preserve">Maintenance Response Coordination</t>
  </si>
  <si>
    <t xml:space="preserve">Resolution of operational issues within agreed service-level timelines</t>
  </si>
  <si>
    <t xml:space="preserve">Within SLA</t>
  </si>
  <si>
    <t xml:space="preserve">Hygiene &amp; Safety Compliance</t>
  </si>
  <si>
    <t xml:space="preserve">Safety inspections, hygiene audits, and compliance checks across all operational areas</t>
  </si>
  <si>
    <t xml:space="preserve">≥ 95%</t>
  </si>
  <si>
    <t xml:space="preserve">Systems &amp; Structures</t>
  </si>
  <si>
    <t xml:space="preserve">OPERA PMS &amp; POS Operational Adoption</t>
  </si>
  <si>
    <t xml:space="preserve">% of operational transactions via approved systems; reduction of off-system / manual processing</t>
  </si>
  <si>
    <t xml:space="preserve">Operational Reporting Compliance</t>
  </si>
  <si>
    <t xml:space="preserve">Daily reports submitted on time, complete, and within acceptable error thresholds</t>
  </si>
  <si>
    <t xml:space="preserve">Daily Operations Briefing Compliance</t>
  </si>
  <si>
    <t xml:space="preserve">Briefing conducted, attendance achieved, action items documented, follow-through completed</t>
  </si>
  <si>
    <t xml:space="preserve">People &amp; SHIELD Culture</t>
  </si>
  <si>
    <t xml:space="preserve">SHIELD Culture Adoption (Operations)</t>
  </si>
  <si>
    <t xml:space="preserve">Operational culture audit: SHIELD understanding, leadership behaviour, conduct, team interactions</t>
  </si>
  <si>
    <t xml:space="preserve">Team Discipline &amp; Reliability</t>
  </si>
  <si>
    <t xml:space="preserve">Attendance, punctuality, shift adherence, uniform compliance, absenteeism rate, conduct incidents</t>
  </si>
  <si>
    <t xml:space="preserve">Supervisor Coaching &amp; Accountability</t>
  </si>
  <si>
    <t xml:space="preserve">Completion of coaching sessions and supervisor accountability reviews per cycle</t>
  </si>
  <si>
    <t xml:space="preserve">Guest Experience</t>
  </si>
  <si>
    <t xml:space="preserve">Guest Satisfaction (Operations)</t>
  </si>
  <si>
    <t xml:space="preserve">Guest surveys, direct feedback, and operational service assessments; net operational satisfaction score</t>
  </si>
  <si>
    <t xml:space="preserve">Above target</t>
  </si>
  <si>
    <t xml:space="preserve">Guest Complaint Resolution</t>
  </si>
  <si>
    <t xml:space="preserve">Turnaround time for operational complaints from receipt to resolution</t>
  </si>
  <si>
    <t xml:space="preserve">Service Recovery Effectiveness</t>
  </si>
  <si>
    <t xml:space="preserve">Success rate in resolving escalated guest issues to guest satisfaction</t>
  </si>
  <si>
    <t xml:space="preserve">Efficiency &amp; Continuous Improvement</t>
  </si>
  <si>
    <t xml:space="preserve">Operational Efficiency Improvements</t>
  </si>
  <si>
    <t xml:space="preserve">Implementation of approved operational improvements per quarter; measurable output vs. baseline</t>
  </si>
  <si>
    <t xml:space="preserve">Quarterly progress</t>
  </si>
  <si>
    <t xml:space="preserve">Operational Downtime Reduction</t>
  </si>
  <si>
    <t xml:space="preserve">Reduction in service interruptions and operational disruptions versus prior period</t>
  </si>
  <si>
    <t xml:space="preserve">YoY improvement</t>
  </si>
  <si>
    <t xml:space="preserve">Preventive Operations Planning</t>
  </si>
  <si>
    <t xml:space="preserve">Effectiveness of proactive issue identification and prevention; % open preventive actions closed on time</t>
  </si>
  <si>
    <t xml:space="preserve">TOTAL WEIGHTED SCORE  (max 1.00 = full weight at score 5/5)</t>
  </si>
  <si>
    <t xml:space="preserve">Score out of 1.00  (multiply ×100 for %)</t>
  </si>
  <si>
    <t xml:space="preserve">RATING BANDS:  0.00–0.40 = Below Target  │  0.41–0.60 = Partially Meets  │  0.61–0.75 = Meets Target  │  0.76–0.85 = Exceeds  │  0.86–1.00 = Exceptional</t>
  </si>
  <si>
    <t xml:space="preserve">Evaluated by (General Manager):</t>
  </si>
  <si>
    <t xml:space="preserve">Reviewed by (HR – People &amp; Culture):</t>
  </si>
  <si>
    <t xml:space="preserve">Acknowledged by (Operations Manager):</t>
  </si>
  <si>
    <t xml:space="preserve">Signature:  ___________________________      Date: ____________</t>
  </si>
  <si>
    <t xml:space="preserve">Hiram Nyingi</t>
  </si>
  <si>
    <t xml:space="preserve">Reagan Ogol</t>
  </si>
  <si>
    <t xml:space="preserve">Albert Maroa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</si>
</sst>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%"/>
    <numFmt numFmtId="167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DDDDDD"/>
      <name val="Arial"/>
      <family val="0"/>
      <charset val="1"/>
    </font>
    <font>
      <b val="true"/>
      <sz val="9"/>
      <color rgb="FF0D1B2A"/>
      <name val="Arial"/>
      <family val="0"/>
      <charset val="1"/>
    </font>
    <font>
      <sz val="9"/>
      <color rgb="FF0D1B2A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color rgb="FF333333"/>
      <name val="Arial"/>
      <family val="0"/>
      <charset val="1"/>
    </font>
    <font>
      <b val="true"/>
      <sz val="12"/>
      <color rgb="FF0D1B2A"/>
      <name val="Arial"/>
      <family val="0"/>
      <charset val="1"/>
    </font>
    <font>
      <sz val="8.5"/>
      <color rgb="FF444444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.5"/>
      <color rgb="FFCCCCCC"/>
      <name val="Arial"/>
      <family val="0"/>
      <charset val="1"/>
    </font>
    <font>
      <b val="true"/>
      <sz val="8"/>
      <color rgb="FF0D1B2A"/>
      <name val="Arial"/>
      <family val="0"/>
      <charset val="1"/>
    </font>
    <font>
      <sz val="8.5"/>
      <color rgb="FF666666"/>
      <name val="Arial"/>
      <family val="0"/>
      <charset val="1"/>
    </font>
    <font>
      <i val="true"/>
      <sz val="8"/>
      <color rgb="FF99999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FFACD"/>
        <bgColor rgb="FFFFF3CD"/>
      </patternFill>
    </fill>
    <fill>
      <patternFill patternType="solid">
        <fgColor rgb="FFEFEFEF"/>
        <bgColor rgb="FFF2F2F2"/>
      </patternFill>
    </fill>
    <fill>
      <patternFill patternType="solid">
        <fgColor rgb="FFD6E4F0"/>
        <bgColor rgb="FFDDDDDD"/>
      </patternFill>
    </fill>
    <fill>
      <patternFill patternType="solid">
        <fgColor rgb="FFFFFFFF"/>
        <bgColor rgb="FFF2F2F2"/>
      </patternFill>
    </fill>
    <fill>
      <patternFill patternType="solid">
        <fgColor rgb="FFE8F4FD"/>
        <bgColor rgb="FFF2F2F2"/>
      </patternFill>
    </fill>
    <fill>
      <patternFill patternType="solid">
        <fgColor rgb="FFFFF3CD"/>
        <bgColor rgb="FFFFFACD"/>
      </patternFill>
    </fill>
    <fill>
      <patternFill patternType="solid">
        <fgColor rgb="FFD9EAD3"/>
        <bgColor rgb="FFDDDDDD"/>
      </patternFill>
    </fill>
    <fill>
      <patternFill patternType="solid">
        <fgColor rgb="FFFCE5CD"/>
        <bgColor rgb="FFFFF3CD"/>
      </patternFill>
    </fill>
    <fill>
      <patternFill patternType="solid">
        <fgColor rgb="FFE2D9F3"/>
        <bgColor rgb="FFDDDDDD"/>
      </patternFill>
    </fill>
    <fill>
      <patternFill patternType="solid">
        <fgColor rgb="FFF4CCCC"/>
        <bgColor rgb="FFDDDDDD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0D1B2A"/>
      </left>
      <right/>
      <top style="medium">
        <color rgb="FF0D1B2A"/>
      </top>
      <bottom style="medium">
        <color rgb="FF0D1B2A"/>
      </bottom>
      <diagonal/>
    </border>
    <border diagonalUp="false" diagonalDown="false">
      <left style="thin">
        <color rgb="FFBDBDBD"/>
      </left>
      <right style="thin">
        <color rgb="FFBDBDBD"/>
      </right>
      <top style="medium">
        <color rgb="FF0D1B2A"/>
      </top>
      <bottom style="medium">
        <color rgb="FF0D1B2A"/>
      </bottom>
      <diagonal/>
    </border>
    <border diagonalUp="false" diagonalDown="false">
      <left style="thin">
        <color rgb="FFBDBDBD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medium">
        <color rgb="FF0D1B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6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FEFE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ACD"/>
      <rgbColor rgb="FFE8F4FD"/>
      <rgbColor rgb="FF660066"/>
      <rgbColor rgb="FFFF8080"/>
      <rgbColor rgb="FF0066CC"/>
      <rgbColor rgb="FFE2D9F3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6E4F0"/>
      <rgbColor rgb="FFD9EAD3"/>
      <rgbColor rgb="FFFFF3CD"/>
      <rgbColor rgb="FFCCCCCC"/>
      <rgbColor rgb="FFFCE5CD"/>
      <rgbColor rgb="FFDDDDDD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B3A5C"/>
      <rgbColor rgb="FF339966"/>
      <rgbColor rgb="FF0D1B2A"/>
      <rgbColor rgb="FF444444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 t="s">
        <v>5</v>
      </c>
      <c r="I3" s="3"/>
      <c r="J3" s="3"/>
    </row>
    <row r="4" customFormat="false" ht="18" hidden="false" customHeight="true" outlineLevel="0" collapsed="false">
      <c r="A4" s="4" t="s">
        <v>6</v>
      </c>
      <c r="B4" s="4"/>
      <c r="C4" s="4" t="s">
        <v>7</v>
      </c>
      <c r="D4" s="4"/>
      <c r="E4" s="4"/>
      <c r="F4" s="4" t="s">
        <v>8</v>
      </c>
      <c r="G4" s="4"/>
      <c r="H4" s="5" t="n">
        <f aca="false">IFERROR(ROUND(SUM(I14:I30),2),"")</f>
        <v>0</v>
      </c>
      <c r="I4" s="5"/>
      <c r="J4" s="5"/>
    </row>
    <row r="5" customFormat="false" ht="13.5" hidden="false" customHeight="true" outlineLevel="0" collapsed="false">
      <c r="A5" s="6" t="s">
        <v>9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6" hidden="false" customHeight="true" outlineLevel="0" collapsed="false"/>
    <row r="7" customFormat="false" ht="36" hidden="false" customHeight="true" outlineLevel="0" collapsed="false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</row>
    <row r="8" customFormat="false" ht="51.75" hidden="false" customHeight="true" outlineLevel="0" collapsed="false">
      <c r="A8" s="8" t="n">
        <v>1</v>
      </c>
      <c r="B8" s="9" t="s">
        <v>20</v>
      </c>
      <c r="C8" s="10" t="n">
        <v>0.07</v>
      </c>
      <c r="D8" s="11" t="s">
        <v>21</v>
      </c>
      <c r="E8" s="12" t="s">
        <v>22</v>
      </c>
      <c r="F8" s="13" t="s">
        <v>23</v>
      </c>
      <c r="G8" s="14"/>
      <c r="H8" s="15"/>
      <c r="I8" s="16" t="str">
        <f aca="false">IFERROR(IF(G8="","",G8*C8/5),"")</f>
        <v/>
      </c>
      <c r="J8" s="15"/>
    </row>
    <row r="9" customFormat="false" ht="51.75" hidden="false" customHeight="true" outlineLevel="0" collapsed="false">
      <c r="A9" s="8" t="n">
        <v>2</v>
      </c>
      <c r="B9" s="9"/>
      <c r="C9" s="10" t="n">
        <v>0.07</v>
      </c>
      <c r="D9" s="11" t="s">
        <v>24</v>
      </c>
      <c r="E9" s="12" t="s">
        <v>25</v>
      </c>
      <c r="F9" s="13" t="s">
        <v>26</v>
      </c>
      <c r="G9" s="14"/>
      <c r="H9" s="15"/>
      <c r="I9" s="16" t="str">
        <f aca="false">IFERROR(IF(G9="","",G9*C9/5),"")</f>
        <v/>
      </c>
      <c r="J9" s="15"/>
    </row>
    <row r="10" customFormat="false" ht="51.75" hidden="false" customHeight="true" outlineLevel="0" collapsed="false">
      <c r="A10" s="8" t="n">
        <v>3</v>
      </c>
      <c r="B10" s="9"/>
      <c r="C10" s="10" t="n">
        <v>0.07</v>
      </c>
      <c r="D10" s="11" t="s">
        <v>27</v>
      </c>
      <c r="E10" s="12" t="s">
        <v>28</v>
      </c>
      <c r="F10" s="13" t="s">
        <v>23</v>
      </c>
      <c r="G10" s="14"/>
      <c r="H10" s="15"/>
      <c r="I10" s="16" t="str">
        <f aca="false">IFERROR(IF(G10="","",G10*C10/5),"")</f>
        <v/>
      </c>
      <c r="J10" s="15"/>
    </row>
    <row r="11" customFormat="false" ht="51.75" hidden="false" customHeight="true" outlineLevel="0" collapsed="false">
      <c r="A11" s="8" t="n">
        <v>4</v>
      </c>
      <c r="B11" s="9"/>
      <c r="C11" s="10" t="n">
        <v>0.07</v>
      </c>
      <c r="D11" s="11" t="s">
        <v>29</v>
      </c>
      <c r="E11" s="12" t="s">
        <v>30</v>
      </c>
      <c r="F11" s="13" t="s">
        <v>31</v>
      </c>
      <c r="G11" s="14"/>
      <c r="H11" s="15"/>
      <c r="I11" s="16" t="str">
        <f aca="false">IFERROR(IF(G11="","",G11*C11/5),"")</f>
        <v/>
      </c>
      <c r="J11" s="15"/>
    </row>
    <row r="12" customFormat="false" ht="51.75" hidden="false" customHeight="true" outlineLevel="0" collapsed="false">
      <c r="A12" s="8" t="n">
        <v>5</v>
      </c>
      <c r="B12" s="9"/>
      <c r="C12" s="10" t="n">
        <v>0.07</v>
      </c>
      <c r="D12" s="11" t="s">
        <v>32</v>
      </c>
      <c r="E12" s="12" t="s">
        <v>33</v>
      </c>
      <c r="F12" s="13" t="s">
        <v>34</v>
      </c>
      <c r="G12" s="14"/>
      <c r="H12" s="15"/>
      <c r="I12" s="16" t="str">
        <f aca="false">IFERROR(IF(G12="","",G12*C12/5),"")</f>
        <v/>
      </c>
      <c r="J12" s="15"/>
    </row>
    <row r="13" customFormat="false" ht="51.75" hidden="false" customHeight="true" outlineLevel="0" collapsed="false">
      <c r="A13" s="17" t="n">
        <v>6</v>
      </c>
      <c r="B13" s="18" t="s">
        <v>35</v>
      </c>
      <c r="C13" s="19" t="n">
        <v>0.0667</v>
      </c>
      <c r="D13" s="20" t="s">
        <v>36</v>
      </c>
      <c r="E13" s="12" t="s">
        <v>37</v>
      </c>
      <c r="F13" s="13" t="s">
        <v>34</v>
      </c>
      <c r="G13" s="14"/>
      <c r="H13" s="15"/>
      <c r="I13" s="16" t="str">
        <f aca="false">IFERROR(IF(G13="","",G13*C13/5),"")</f>
        <v/>
      </c>
      <c r="J13" s="15"/>
    </row>
    <row r="14" customFormat="false" ht="51.75" hidden="false" customHeight="true" outlineLevel="0" collapsed="false">
      <c r="A14" s="17" t="n">
        <v>7</v>
      </c>
      <c r="B14" s="18"/>
      <c r="C14" s="19" t="n">
        <v>0.0667</v>
      </c>
      <c r="D14" s="20" t="s">
        <v>38</v>
      </c>
      <c r="E14" s="12" t="s">
        <v>39</v>
      </c>
      <c r="F14" s="13" t="s">
        <v>26</v>
      </c>
      <c r="G14" s="14"/>
      <c r="H14" s="15"/>
      <c r="I14" s="16" t="str">
        <f aca="false">IFERROR(IF(G14="","",G14*C14/5),"")</f>
        <v/>
      </c>
      <c r="J14" s="15"/>
    </row>
    <row r="15" customFormat="false" ht="51.75" hidden="false" customHeight="true" outlineLevel="0" collapsed="false">
      <c r="A15" s="17" t="n">
        <v>8</v>
      </c>
      <c r="B15" s="18"/>
      <c r="C15" s="19" t="n">
        <v>0.0667</v>
      </c>
      <c r="D15" s="20" t="s">
        <v>40</v>
      </c>
      <c r="E15" s="12" t="s">
        <v>41</v>
      </c>
      <c r="F15" s="13" t="s">
        <v>34</v>
      </c>
      <c r="G15" s="14"/>
      <c r="H15" s="15"/>
      <c r="I15" s="16" t="str">
        <f aca="false">IFERROR(IF(G15="","",G15*C15/5),"")</f>
        <v/>
      </c>
      <c r="J15" s="15"/>
    </row>
    <row r="16" customFormat="false" ht="51.75" hidden="false" customHeight="true" outlineLevel="0" collapsed="false">
      <c r="A16" s="21" t="n">
        <v>9</v>
      </c>
      <c r="B16" s="22" t="s">
        <v>42</v>
      </c>
      <c r="C16" s="23" t="n">
        <v>0.0667</v>
      </c>
      <c r="D16" s="24" t="s">
        <v>43</v>
      </c>
      <c r="E16" s="12" t="s">
        <v>44</v>
      </c>
      <c r="F16" s="13" t="s">
        <v>23</v>
      </c>
      <c r="G16" s="14"/>
      <c r="H16" s="15"/>
      <c r="I16" s="16" t="str">
        <f aca="false">IFERROR(IF(G16="","",G16*C16/5),"")</f>
        <v/>
      </c>
      <c r="J16" s="15"/>
    </row>
    <row r="17" customFormat="false" ht="51.75" hidden="false" customHeight="true" outlineLevel="0" collapsed="false">
      <c r="A17" s="21" t="n">
        <v>10</v>
      </c>
      <c r="B17" s="22"/>
      <c r="C17" s="23" t="n">
        <v>0.0667</v>
      </c>
      <c r="D17" s="24" t="s">
        <v>45</v>
      </c>
      <c r="E17" s="12" t="s">
        <v>46</v>
      </c>
      <c r="F17" s="13" t="s">
        <v>23</v>
      </c>
      <c r="G17" s="14"/>
      <c r="H17" s="15"/>
      <c r="I17" s="16" t="str">
        <f aca="false">IFERROR(IF(G17="","",G17*C17/5),"")</f>
        <v/>
      </c>
      <c r="J17" s="15"/>
    </row>
    <row r="18" customFormat="false" ht="51.75" hidden="false" customHeight="true" outlineLevel="0" collapsed="false">
      <c r="A18" s="21" t="n">
        <v>11</v>
      </c>
      <c r="B18" s="22"/>
      <c r="C18" s="23" t="n">
        <v>0.0667</v>
      </c>
      <c r="D18" s="24" t="s">
        <v>47</v>
      </c>
      <c r="E18" s="12" t="s">
        <v>48</v>
      </c>
      <c r="F18" s="13" t="s">
        <v>26</v>
      </c>
      <c r="G18" s="14"/>
      <c r="H18" s="15"/>
      <c r="I18" s="16" t="str">
        <f aca="false">IFERROR(IF(G18="","",G18*C18/5),"")</f>
        <v/>
      </c>
      <c r="J18" s="15"/>
    </row>
    <row r="19" customFormat="false" ht="51.75" hidden="false" customHeight="true" outlineLevel="0" collapsed="false">
      <c r="A19" s="25" t="n">
        <v>12</v>
      </c>
      <c r="B19" s="26" t="s">
        <v>49</v>
      </c>
      <c r="C19" s="27" t="n">
        <v>0.05</v>
      </c>
      <c r="D19" s="28" t="s">
        <v>50</v>
      </c>
      <c r="E19" s="12" t="s">
        <v>51</v>
      </c>
      <c r="F19" s="13" t="s">
        <v>52</v>
      </c>
      <c r="G19" s="14"/>
      <c r="H19" s="15"/>
      <c r="I19" s="16" t="str">
        <f aca="false">IFERROR(IF(G19="","",G19*C19/5),"")</f>
        <v/>
      </c>
      <c r="J19" s="15"/>
    </row>
    <row r="20" customFormat="false" ht="51.75" hidden="false" customHeight="true" outlineLevel="0" collapsed="false">
      <c r="A20" s="25" t="n">
        <v>13</v>
      </c>
      <c r="B20" s="26"/>
      <c r="C20" s="27" t="n">
        <v>0.05</v>
      </c>
      <c r="D20" s="28" t="s">
        <v>53</v>
      </c>
      <c r="E20" s="12" t="s">
        <v>54</v>
      </c>
      <c r="F20" s="13" t="s">
        <v>31</v>
      </c>
      <c r="G20" s="14"/>
      <c r="H20" s="15"/>
      <c r="I20" s="16" t="str">
        <f aca="false">IFERROR(IF(G20="","",G20*C20/5),"")</f>
        <v/>
      </c>
      <c r="J20" s="15"/>
    </row>
    <row r="21" customFormat="false" ht="51.75" hidden="false" customHeight="true" outlineLevel="0" collapsed="false">
      <c r="A21" s="25" t="n">
        <v>14</v>
      </c>
      <c r="B21" s="26"/>
      <c r="C21" s="27" t="n">
        <v>0.05</v>
      </c>
      <c r="D21" s="28" t="s">
        <v>55</v>
      </c>
      <c r="E21" s="12" t="s">
        <v>56</v>
      </c>
      <c r="F21" s="13" t="s">
        <v>23</v>
      </c>
      <c r="G21" s="14"/>
      <c r="H21" s="15"/>
      <c r="I21" s="16" t="str">
        <f aca="false">IFERROR(IF(G21="","",G21*C21/5),"")</f>
        <v/>
      </c>
      <c r="J21" s="15"/>
    </row>
    <row r="22" customFormat="false" ht="51.75" hidden="false" customHeight="true" outlineLevel="0" collapsed="false">
      <c r="A22" s="29" t="n">
        <v>15</v>
      </c>
      <c r="B22" s="30" t="s">
        <v>57</v>
      </c>
      <c r="C22" s="31" t="n">
        <v>0.0333</v>
      </c>
      <c r="D22" s="32" t="s">
        <v>58</v>
      </c>
      <c r="E22" s="12" t="s">
        <v>59</v>
      </c>
      <c r="F22" s="13" t="s">
        <v>60</v>
      </c>
      <c r="G22" s="14"/>
      <c r="H22" s="15"/>
      <c r="I22" s="16" t="str">
        <f aca="false">IFERROR(IF(G22="","",G22*C22/5),"")</f>
        <v/>
      </c>
      <c r="J22" s="15"/>
    </row>
    <row r="23" customFormat="false" ht="51.75" hidden="false" customHeight="true" outlineLevel="0" collapsed="false">
      <c r="A23" s="29" t="n">
        <v>16</v>
      </c>
      <c r="B23" s="30"/>
      <c r="C23" s="31" t="n">
        <v>0.0333</v>
      </c>
      <c r="D23" s="32" t="s">
        <v>61</v>
      </c>
      <c r="E23" s="12" t="s">
        <v>62</v>
      </c>
      <c r="F23" s="13" t="s">
        <v>63</v>
      </c>
      <c r="G23" s="14"/>
      <c r="H23" s="15"/>
      <c r="I23" s="16" t="str">
        <f aca="false">IFERROR(IF(G23="","",G23*C23/5),"")</f>
        <v/>
      </c>
      <c r="J23" s="15"/>
    </row>
    <row r="24" customFormat="false" ht="51.75" hidden="false" customHeight="true" outlineLevel="0" collapsed="false">
      <c r="A24" s="29" t="n">
        <v>17</v>
      </c>
      <c r="B24" s="30"/>
      <c r="C24" s="31" t="n">
        <v>0.0333</v>
      </c>
      <c r="D24" s="32" t="s">
        <v>64</v>
      </c>
      <c r="E24" s="12" t="s">
        <v>65</v>
      </c>
      <c r="F24" s="13" t="s">
        <v>23</v>
      </c>
      <c r="G24" s="14"/>
      <c r="H24" s="15"/>
      <c r="I24" s="16" t="str">
        <f aca="false">IFERROR(IF(G24="","",G24*C24/5),"")</f>
        <v/>
      </c>
      <c r="J24" s="15"/>
    </row>
    <row r="25" customFormat="false" ht="27.75" hidden="false" customHeight="true" outlineLevel="0" collapsed="false">
      <c r="A25" s="33" t="s">
        <v>66</v>
      </c>
      <c r="B25" s="33"/>
      <c r="C25" s="33"/>
      <c r="D25" s="33"/>
      <c r="E25" s="33"/>
      <c r="F25" s="33"/>
      <c r="G25" s="34"/>
      <c r="H25" s="34"/>
      <c r="I25" s="35" t="n">
        <f aca="false">IFERROR(ROUND(SUM(I8:I24),3),"")</f>
        <v>0</v>
      </c>
      <c r="J25" s="36" t="s">
        <v>67</v>
      </c>
    </row>
    <row r="26" customFormat="false" ht="19.5" hidden="false" customHeight="true" outlineLevel="0" collapsed="false">
      <c r="A26" s="37" t="s">
        <v>68</v>
      </c>
      <c r="B26" s="37"/>
      <c r="C26" s="37"/>
      <c r="D26" s="37"/>
      <c r="E26" s="37"/>
      <c r="F26" s="37"/>
      <c r="G26" s="37"/>
      <c r="H26" s="37"/>
      <c r="I26" s="38" t="str">
        <f aca="false">IFERROR(IF(I25="","",IF(I25&gt;=0.86,"EXCEPTIONAL",IF(I25&gt;=0.76,"EXCEEDS TARGET",IF(I25&gt;=0.61,"MEETS TARGET",IF(I25&gt;=0.41,"PARTIALLY MEETS","BELOW TARGET"))))),"N/A")</f>
        <v>BELOW TARGET</v>
      </c>
      <c r="J26" s="38"/>
    </row>
    <row r="28" customFormat="false" ht="13.5" hidden="false" customHeight="true" outlineLevel="0" collapsed="false">
      <c r="A28" s="39" t="s">
        <v>69</v>
      </c>
      <c r="B28" s="39"/>
      <c r="C28" s="39"/>
      <c r="D28" s="39"/>
      <c r="E28" s="39" t="s">
        <v>70</v>
      </c>
      <c r="F28" s="39"/>
      <c r="G28" s="39"/>
      <c r="H28" s="39" t="s">
        <v>71</v>
      </c>
      <c r="I28" s="39"/>
      <c r="J28" s="39"/>
    </row>
    <row r="29" customFormat="false" ht="21.75" hidden="false" customHeight="true" outlineLevel="0" collapsed="false">
      <c r="A29" s="40" t="s">
        <v>72</v>
      </c>
      <c r="B29" s="40"/>
      <c r="C29" s="40"/>
      <c r="D29" s="40"/>
      <c r="E29" s="40" t="s">
        <v>72</v>
      </c>
      <c r="F29" s="40"/>
      <c r="G29" s="40"/>
      <c r="H29" s="40" t="s">
        <v>72</v>
      </c>
      <c r="I29" s="40"/>
      <c r="J29" s="40"/>
    </row>
    <row r="30" customFormat="false" ht="13.5" hidden="false" customHeight="true" outlineLevel="0" collapsed="false">
      <c r="A30" s="41" t="s">
        <v>73</v>
      </c>
      <c r="B30" s="41"/>
      <c r="C30" s="41"/>
      <c r="D30" s="41"/>
      <c r="E30" s="41" t="s">
        <v>74</v>
      </c>
      <c r="F30" s="41"/>
      <c r="G30" s="41"/>
      <c r="H30" s="41" t="s">
        <v>75</v>
      </c>
      <c r="I30" s="41"/>
      <c r="J30" s="41"/>
    </row>
  </sheetData>
  <mergeCells count="28">
    <mergeCell ref="A1:J1"/>
    <mergeCell ref="A2:J2"/>
    <mergeCell ref="A3:B3"/>
    <mergeCell ref="C3:E3"/>
    <mergeCell ref="F3:G3"/>
    <mergeCell ref="H3:J3"/>
    <mergeCell ref="A4:B4"/>
    <mergeCell ref="C4:E4"/>
    <mergeCell ref="F4:G4"/>
    <mergeCell ref="H4:J4"/>
    <mergeCell ref="A5:J5"/>
    <mergeCell ref="B8:B12"/>
    <mergeCell ref="B13:B15"/>
    <mergeCell ref="B16:B18"/>
    <mergeCell ref="B19:B21"/>
    <mergeCell ref="B22:B24"/>
    <mergeCell ref="A25:F25"/>
    <mergeCell ref="A26:H26"/>
    <mergeCell ref="I26:J26"/>
    <mergeCell ref="A28:D28"/>
    <mergeCell ref="E28:G28"/>
    <mergeCell ref="H28:J28"/>
    <mergeCell ref="A29:D29"/>
    <mergeCell ref="E29:G29"/>
    <mergeCell ref="H29:J29"/>
    <mergeCell ref="A30:D30"/>
    <mergeCell ref="E30:G30"/>
    <mergeCell ref="H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2026-09-25T18:04:29Z</dcterms:created>
  <dc:creator>openpyxl</dc:creator>
  <dc:description/>
  <dc:language>en-US</dc:language>
  <cp:lastModifiedBy/>
  <dcterms:modified xsi:type="dcterms:W3CDTF">2026-09-25T18:04:29Z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